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xr:revisionPtr revIDLastSave="21" documentId="11_D55B6D80DB0090BCAEE8C3C24DBF15F7671C5FFA" xr6:coauthVersionLast="47" xr6:coauthVersionMax="47" xr10:uidLastSave="{5569309A-4C9F-42E1-A1D3-7B2E2B95875F}"/>
  <bookViews>
    <workbookView xWindow="0" yWindow="0" windowWidth="16384" windowHeight="8192" tabRatio="500" xr2:uid="{00000000-000D-0000-FFFF-FFFF00000000}"/>
  </bookViews>
  <sheets>
    <sheet name="Plan OpenUP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57" i="1" l="1"/>
  <c r="I58" i="1" s="1"/>
  <c r="H57" i="1"/>
  <c r="H58" i="1" s="1"/>
  <c r="G57" i="1"/>
  <c r="G58" i="1" s="1"/>
  <c r="F57" i="1"/>
  <c r="F58" i="1" s="1"/>
  <c r="E57" i="1"/>
  <c r="E58" i="1" s="1"/>
  <c r="J59" i="1" s="1"/>
  <c r="D57" i="1"/>
  <c r="J60" i="1" l="1"/>
  <c r="J61" i="1" s="1"/>
  <c r="J62" i="1" s="1"/>
</calcChain>
</file>

<file path=xl/sharedStrings.xml><?xml version="1.0" encoding="utf-8"?>
<sst xmlns="http://schemas.openxmlformats.org/spreadsheetml/2006/main" count="70" uniqueCount="66">
  <si>
    <t>Plan de Proyecto - Metodología OpenUP</t>
  </si>
  <si>
    <t>Plataforma Digital para la Gestión Integrada y Sostenible del Turismo en Santa Marta</t>
  </si>
  <si>
    <t>ROLES DEL EQUIPO</t>
  </si>
  <si>
    <t>Líder Técnico / Arquitecto</t>
  </si>
  <si>
    <t>Desarrollador Full-stack</t>
  </si>
  <si>
    <t>Desarrollador Backend</t>
  </si>
  <si>
    <t>Analista de Requisitos</t>
  </si>
  <si>
    <t>Ingeniero QA</t>
  </si>
  <si>
    <t>Salario Mensual (COP)</t>
  </si>
  <si>
    <t>Cantidad de personas</t>
  </si>
  <si>
    <t>Participación (%)</t>
  </si>
  <si>
    <t>FASES E ITERACIONES (OpenUP)</t>
  </si>
  <si>
    <t>#</t>
  </si>
  <si>
    <t>Fase / Entregable</t>
  </si>
  <si>
    <t>Iter.</t>
  </si>
  <si>
    <t>Iteraciones que participa</t>
  </si>
  <si>
    <t>INICIO — Visión, alcance y viabilidad</t>
  </si>
  <si>
    <t xml:space="preserve">   • Documento de Visión del proyecto</t>
  </si>
  <si>
    <t xml:space="preserve">   • Contexto del problema</t>
  </si>
  <si>
    <t xml:space="preserve">   • Identificación de stakeholders (tabla)</t>
  </si>
  <si>
    <t xml:space="preserve">   • Backlog inicial de Historias de Usuario</t>
  </si>
  <si>
    <t xml:space="preserve">   • Diagrama de Casos de Uso Nivel 0</t>
  </si>
  <si>
    <t xml:space="preserve">   • Glosario del dominio turístico</t>
  </si>
  <si>
    <t xml:space="preserve">   • Identificación inicial de riesgos</t>
  </si>
  <si>
    <t xml:space="preserve">   • Plan de proyecto + Justificación de metodología (OpenUP)</t>
  </si>
  <si>
    <t>ELABORACIÓN — Baseline arquitectónico y mitigación de riesgos</t>
  </si>
  <si>
    <t xml:space="preserve">   • Documento de Requerimientos completo (IEEE/IEC/IEEE 29148:2018)</t>
  </si>
  <si>
    <t xml:space="preserve">   • Casos de Uso Nivel 1 detallados</t>
  </si>
  <si>
    <t xml:space="preserve">   • Atributos de calidad como escenarios medibles (QAS)</t>
  </si>
  <si>
    <t xml:space="preserve">   • Análisis de restricciones (técnicas, económicas, sociales, ambientales, normativas, éticas)</t>
  </si>
  <si>
    <t xml:space="preserve">   • Documento de Comparación y Selección de Arquitectura</t>
  </si>
  <si>
    <t xml:space="preserve">   • Tabla comparativa de alternativas + análisis de trade-offs</t>
  </si>
  <si>
    <t xml:space="preserve">   • Documento de Diseño Arquitectónico (baseline)</t>
  </si>
  <si>
    <t xml:space="preserve">   • Modelo de datos (conceptual + lógico) + justificación de persistencia</t>
  </si>
  <si>
    <t xml:space="preserve">   • Wireframes / Mockups de interfaces principales</t>
  </si>
  <si>
    <t xml:space="preserve">   • Diagrama de paquetes (componentes)</t>
  </si>
  <si>
    <t xml:space="preserve">   • Diagrama de despliegue inicial</t>
  </si>
  <si>
    <t xml:space="preserve">   • ADRs iniciales (metodología, estilo, BD, conectividad)</t>
  </si>
  <si>
    <t xml:space="preserve">   • Prototipo arquitectónico ejecutable (flujo crítico)</t>
  </si>
  <si>
    <t>CONSTRUCCIÓN — Implementación incremental del sistema</t>
  </si>
  <si>
    <t xml:space="preserve">   • Implementación de módulos priorizados (≥ 60% de casos de uso)</t>
  </si>
  <si>
    <t xml:space="preserve">   • Flujo crítico completo (inicio → procesamiento → persistencia → respuesta)</t>
  </si>
  <si>
    <t xml:space="preserve">   • Adaptador de interoperabilidad (RNT, pasarela de pagos, fuentes externas)</t>
  </si>
  <si>
    <t xml:space="preserve">   • Módulo de IA integrado como servicio desacoplado</t>
  </si>
  <si>
    <t xml:space="preserve">   • Pruebas unitarias e integración por iteración</t>
  </si>
  <si>
    <t xml:space="preserve">   • Evaluación arquitectónica lightweight (por escenarios)</t>
  </si>
  <si>
    <t xml:space="preserve">   • Actualización iterativa de ADRs</t>
  </si>
  <si>
    <t xml:space="preserve">   • Refinamiento de diagramas de diseño</t>
  </si>
  <si>
    <t xml:space="preserve">   • Métricas de calidad medidas iterativamente</t>
  </si>
  <si>
    <t xml:space="preserve">   • Backlog refinado por iteración</t>
  </si>
  <si>
    <t>TRANSICIÓN — Despliegue, validación y cierre</t>
  </si>
  <si>
    <t xml:space="preserve">   • Despliegue del prototipo (cloud de bajo costo)</t>
  </si>
  <si>
    <t xml:space="preserve">   • Documento Final consolidado</t>
  </si>
  <si>
    <t xml:space="preserve">   • Tabla de validación frente a restricciones (Restricción / Tipo / Decisión / Evidencia / Cumple)</t>
  </si>
  <si>
    <t xml:space="preserve">   • Análisis de impacto comparativo (situación inicial vs sistema propuesto)</t>
  </si>
  <si>
    <t xml:space="preserve">   • Reporte final de evaluación arquitectónica</t>
  </si>
  <si>
    <t xml:space="preserve">   • Manuales de usuario / operación básicos</t>
  </si>
  <si>
    <t xml:space="preserve">   • Preparación de la sustentación pública</t>
  </si>
  <si>
    <t xml:space="preserve">   • Retroalimentación final y cierre del proyecto</t>
  </si>
  <si>
    <t>Total iteraciones por rol (1 iter = 12 días)</t>
  </si>
  <si>
    <t>Costo por rol (COP)</t>
  </si>
  <si>
    <t>Subtotal (suma costos por rol)</t>
  </si>
  <si>
    <t>Imprevistos (10%)</t>
  </si>
  <si>
    <t>COSTO TOTAL</t>
  </si>
  <si>
    <t>VALOR FINAL AL CLIENTE (margen 25%)</t>
  </si>
  <si>
    <t>Duración total: 8 iteraciones × 12 días = 96 días (semestre 24-Ago a 28-Nov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</si>
</sst>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10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10"/>
      <name val="Arial"/>
      <charset val="1"/>
    </font>
    <font>
      <b/>
      <sz val="10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1"/>
      <name val="Arial"/>
      <charset val="1"/>
    </font>
    <font>
      <b/>
      <sz val="12"/>
      <name val="Arial"/>
      <charset val="1"/>
    </font>
    <font>
      <i/>
      <sz val="9"/>
      <color rgb="FF404040"/>
      <name val="Arial"/>
      <charset val="1"/>
    </font>
    <font>
      <b/>
      <u/>
      <sz val="10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9D9D9"/>
        <bgColor rgb="FFBDD7EE"/>
      </patternFill>
    </fill>
    <fill>
      <patternFill patternType="solid">
        <fgColor rgb="FFBDD7EE"/>
        <bgColor rgb="FFD9D9D9"/>
      </patternFill>
    </fill>
    <fill>
      <patternFill patternType="solid">
        <fgColor rgb="FFFFE699"/>
        <bgColor rgb="FFFFD966"/>
      </patternFill>
    </fill>
    <fill>
      <patternFill patternType="solid">
        <fgColor rgb="FFF4B084"/>
        <bgColor rgb="FFFFD966"/>
      </patternFill>
    </fill>
    <fill>
      <patternFill patternType="solid">
        <fgColor rgb="FFC6E0B4"/>
        <bgColor rgb="FFD9D9D9"/>
      </patternFill>
    </fill>
    <fill>
      <patternFill patternType="solid">
        <fgColor rgb="FFFFD966"/>
        <bgColor rgb="FFFFE699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6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left" vertical="center" wrapText="1"/>
    </xf>
    <xf numFmtId="164" fontId="5" fillId="4" borderId="1" xfId="0" applyNumberFormat="1" applyFont="1" applyFill="1" applyBorder="1" applyAlignment="1">
      <alignment horizontal="center" vertical="center" wrapText="1"/>
    </xf>
    <xf numFmtId="164" fontId="6" fillId="4" borderId="1" xfId="0" applyNumberFormat="1" applyFont="1" applyFill="1" applyBorder="1" applyAlignment="1">
      <alignment horizontal="right" vertical="center"/>
    </xf>
    <xf numFmtId="164" fontId="5" fillId="0" borderId="1" xfId="0" applyNumberFormat="1" applyFont="1" applyBorder="1" applyAlignment="1">
      <alignment horizontal="right" vertical="center"/>
    </xf>
    <xf numFmtId="0" fontId="6" fillId="9" borderId="0" xfId="0" applyFont="1" applyFill="1" applyAlignment="1">
      <alignment horizontal="left" vertical="center" wrapText="1"/>
    </xf>
    <xf numFmtId="164" fontId="7" fillId="9" borderId="1" xfId="0" applyNumberFormat="1" applyFont="1" applyFill="1" applyBorder="1" applyAlignment="1">
      <alignment horizontal="right" vertical="center"/>
    </xf>
    <xf numFmtId="0" fontId="8" fillId="0" borderId="0" xfId="0" applyFont="1" applyAlignment="1">
      <alignment horizontal="left" vertical="center" wrapText="1"/>
    </xf>
    <xf numFmtId="0" fontId="9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4B084"/>
      <rgbColor rgb="FFCC99FF"/>
      <rgbColor rgb="FFFFD96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64"/>
  <sheetViews>
    <sheetView tabSelected="1" zoomScaleNormal="100" workbookViewId="0">
      <selection activeCell="K5" sqref="K5"/>
    </sheetView>
  </sheetViews>
  <sheetFormatPr defaultColWidth="8.7109375" defaultRowHeight="15"/>
  <cols>
    <col min="1" max="1" width="4" customWidth="1"/>
    <col min="2" max="2" width="5" customWidth="1"/>
    <col min="3" max="3" width="32" customWidth="1"/>
    <col min="4" max="4" width="10" customWidth="1"/>
    <col min="5" max="9" width="18" customWidth="1"/>
    <col min="10" max="10" width="16" customWidth="1"/>
  </cols>
  <sheetData>
    <row r="2" spans="2:10" ht="24" customHeight="1">
      <c r="B2" s="2" t="s">
        <v>0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1" t="s">
        <v>1</v>
      </c>
      <c r="C3" s="1"/>
      <c r="D3" s="1"/>
      <c r="E3" s="1"/>
      <c r="F3" s="1"/>
      <c r="G3" s="1"/>
      <c r="H3" s="1"/>
      <c r="I3" s="1"/>
      <c r="J3" s="1"/>
    </row>
    <row r="5" spans="2:10">
      <c r="C5" s="3" t="s">
        <v>2</v>
      </c>
    </row>
    <row r="6" spans="2:10" ht="31.5" customHeight="1">
      <c r="E6" s="4" t="s">
        <v>3</v>
      </c>
      <c r="F6" s="4" t="s">
        <v>4</v>
      </c>
      <c r="G6" s="4" t="s">
        <v>5</v>
      </c>
      <c r="H6" s="4" t="s">
        <v>6</v>
      </c>
      <c r="I6" s="4" t="s">
        <v>7</v>
      </c>
    </row>
    <row r="7" spans="2:10">
      <c r="C7" s="5" t="s">
        <v>8</v>
      </c>
      <c r="E7" s="6">
        <v>2500000</v>
      </c>
      <c r="F7" s="6">
        <v>1800000</v>
      </c>
      <c r="G7" s="6">
        <v>1700000</v>
      </c>
      <c r="H7" s="6">
        <v>1650000</v>
      </c>
      <c r="I7" s="6">
        <v>1600000</v>
      </c>
    </row>
    <row r="8" spans="2:10">
      <c r="C8" s="5" t="s">
        <v>9</v>
      </c>
      <c r="E8" s="7">
        <v>1</v>
      </c>
      <c r="F8" s="7">
        <v>1</v>
      </c>
      <c r="G8" s="7">
        <v>1</v>
      </c>
      <c r="H8" s="7">
        <v>1</v>
      </c>
      <c r="I8" s="7">
        <v>1</v>
      </c>
    </row>
    <row r="9" spans="2:10">
      <c r="C9" s="5" t="s">
        <v>10</v>
      </c>
      <c r="E9" s="8">
        <v>0.7</v>
      </c>
      <c r="F9" s="8">
        <v>0.9</v>
      </c>
      <c r="G9" s="8">
        <v>0.9</v>
      </c>
      <c r="H9" s="8">
        <v>0.6</v>
      </c>
      <c r="I9" s="8">
        <v>0.7</v>
      </c>
    </row>
    <row r="11" spans="2:10">
      <c r="C11" s="3" t="s">
        <v>11</v>
      </c>
    </row>
    <row r="12" spans="2:10" ht="30" customHeight="1">
      <c r="B12" s="9" t="s">
        <v>12</v>
      </c>
      <c r="C12" s="9" t="s">
        <v>13</v>
      </c>
      <c r="D12" s="9" t="s">
        <v>14</v>
      </c>
      <c r="E12" s="10" t="s">
        <v>15</v>
      </c>
      <c r="F12" s="10" t="s">
        <v>15</v>
      </c>
      <c r="G12" s="10" t="s">
        <v>15</v>
      </c>
      <c r="H12" s="10" t="s">
        <v>15</v>
      </c>
      <c r="I12" s="10" t="s">
        <v>15</v>
      </c>
    </row>
    <row r="13" spans="2:10" ht="23.85">
      <c r="B13" s="11">
        <v>1</v>
      </c>
      <c r="C13" s="12" t="s">
        <v>16</v>
      </c>
      <c r="D13" s="11">
        <v>1</v>
      </c>
      <c r="E13" s="13">
        <v>1</v>
      </c>
      <c r="F13" s="13">
        <v>1</v>
      </c>
      <c r="G13" s="13">
        <v>1</v>
      </c>
      <c r="H13" s="13">
        <v>1</v>
      </c>
      <c r="I13" s="13">
        <v>1</v>
      </c>
    </row>
    <row r="14" spans="2:10" ht="33.75" customHeight="1">
      <c r="C14" s="14" t="s">
        <v>17</v>
      </c>
    </row>
    <row r="15" spans="2:10" ht="24" customHeight="1">
      <c r="C15" s="14" t="s">
        <v>18</v>
      </c>
    </row>
    <row r="16" spans="2:10" ht="36.75" customHeight="1">
      <c r="C16" s="14" t="s">
        <v>19</v>
      </c>
    </row>
    <row r="17" spans="2:9" ht="23.85">
      <c r="C17" s="14" t="s">
        <v>20</v>
      </c>
    </row>
    <row r="18" spans="2:9" ht="33.75" customHeight="1">
      <c r="C18" s="14" t="s">
        <v>21</v>
      </c>
    </row>
    <row r="19" spans="2:9">
      <c r="C19" s="14" t="s">
        <v>22</v>
      </c>
    </row>
    <row r="20" spans="2:9" ht="23.25" customHeight="1">
      <c r="C20" s="14" t="s">
        <v>23</v>
      </c>
    </row>
    <row r="21" spans="2:9" ht="23.85">
      <c r="C21" s="14" t="s">
        <v>24</v>
      </c>
    </row>
    <row r="22" spans="2:9" ht="36">
      <c r="B22" s="15">
        <v>2</v>
      </c>
      <c r="C22" s="16" t="s">
        <v>25</v>
      </c>
      <c r="D22" s="15">
        <v>2</v>
      </c>
      <c r="E22" s="33">
        <v>2</v>
      </c>
      <c r="F22" s="17">
        <v>2</v>
      </c>
      <c r="G22" s="17">
        <v>2</v>
      </c>
      <c r="H22" s="17">
        <v>2</v>
      </c>
      <c r="I22" s="17">
        <v>2</v>
      </c>
    </row>
    <row r="23" spans="2:9" ht="42" customHeight="1">
      <c r="C23" s="14" t="s">
        <v>26</v>
      </c>
    </row>
    <row r="24" spans="2:9">
      <c r="C24" s="14" t="s">
        <v>27</v>
      </c>
    </row>
    <row r="25" spans="2:9" ht="30.75" customHeight="1">
      <c r="C25" s="14" t="s">
        <v>28</v>
      </c>
    </row>
    <row r="26" spans="2:9" ht="35.1">
      <c r="C26" s="14" t="s">
        <v>29</v>
      </c>
    </row>
    <row r="27" spans="2:9" ht="29.25" customHeight="1">
      <c r="C27" s="14" t="s">
        <v>30</v>
      </c>
    </row>
    <row r="28" spans="2:9" ht="23.85">
      <c r="C28" s="14" t="s">
        <v>31</v>
      </c>
    </row>
    <row r="29" spans="2:9" ht="23.85">
      <c r="C29" s="14" t="s">
        <v>32</v>
      </c>
    </row>
    <row r="30" spans="2:9" ht="23.85">
      <c r="C30" s="14" t="s">
        <v>33</v>
      </c>
    </row>
    <row r="31" spans="2:9" ht="23.85">
      <c r="C31" s="14" t="s">
        <v>34</v>
      </c>
    </row>
    <row r="32" spans="2:9" ht="23.85">
      <c r="C32" s="14" t="s">
        <v>35</v>
      </c>
    </row>
    <row r="33" spans="2:9">
      <c r="C33" s="14" t="s">
        <v>36</v>
      </c>
    </row>
    <row r="34" spans="2:9" ht="23.85">
      <c r="C34" s="14" t="s">
        <v>37</v>
      </c>
    </row>
    <row r="35" spans="2:9" ht="23.85">
      <c r="C35" s="14" t="s">
        <v>38</v>
      </c>
    </row>
    <row r="36" spans="2:9" ht="43.5" customHeight="1">
      <c r="B36" s="18">
        <v>3</v>
      </c>
      <c r="C36" s="19" t="s">
        <v>39</v>
      </c>
      <c r="D36" s="18">
        <v>4</v>
      </c>
      <c r="E36" s="20">
        <v>4</v>
      </c>
      <c r="F36" s="20">
        <v>4</v>
      </c>
      <c r="G36" s="20">
        <v>4</v>
      </c>
      <c r="H36" s="20">
        <v>3</v>
      </c>
      <c r="I36" s="20">
        <v>2</v>
      </c>
    </row>
    <row r="37" spans="2:9" ht="30.75" customHeight="1">
      <c r="C37" s="14" t="s">
        <v>40</v>
      </c>
    </row>
    <row r="38" spans="2:9" ht="42" customHeight="1">
      <c r="C38" s="14" t="s">
        <v>41</v>
      </c>
    </row>
    <row r="39" spans="2:9" ht="39" customHeight="1">
      <c r="C39" s="14" t="s">
        <v>42</v>
      </c>
    </row>
    <row r="40" spans="2:9" ht="33" customHeight="1">
      <c r="C40" s="14" t="s">
        <v>43</v>
      </c>
    </row>
    <row r="41" spans="2:9" ht="30.75" customHeight="1">
      <c r="C41" s="14" t="s">
        <v>44</v>
      </c>
    </row>
    <row r="42" spans="2:9" ht="23.85">
      <c r="C42" s="14" t="s">
        <v>45</v>
      </c>
    </row>
    <row r="43" spans="2:9">
      <c r="C43" s="14" t="s">
        <v>46</v>
      </c>
    </row>
    <row r="44" spans="2:9" ht="23.85">
      <c r="C44" s="14" t="s">
        <v>47</v>
      </c>
    </row>
    <row r="45" spans="2:9" ht="23.85">
      <c r="C45" s="14" t="s">
        <v>48</v>
      </c>
    </row>
    <row r="46" spans="2:9">
      <c r="C46" s="14" t="s">
        <v>49</v>
      </c>
    </row>
    <row r="47" spans="2:9" ht="23.85">
      <c r="B47" s="21">
        <v>4</v>
      </c>
      <c r="C47" s="22" t="s">
        <v>50</v>
      </c>
      <c r="D47" s="21">
        <v>1</v>
      </c>
      <c r="E47" s="23">
        <v>1</v>
      </c>
      <c r="F47" s="23">
        <v>1</v>
      </c>
      <c r="G47" s="23">
        <v>1</v>
      </c>
      <c r="H47" s="23">
        <v>1</v>
      </c>
      <c r="I47" s="23">
        <v>1</v>
      </c>
    </row>
    <row r="48" spans="2:9" ht="23.85">
      <c r="C48" s="14" t="s">
        <v>51</v>
      </c>
    </row>
    <row r="49" spans="3:10">
      <c r="C49" s="14" t="s">
        <v>52</v>
      </c>
    </row>
    <row r="50" spans="3:10" ht="35.1">
      <c r="C50" s="14" t="s">
        <v>53</v>
      </c>
    </row>
    <row r="51" spans="3:10" ht="38.25" customHeight="1">
      <c r="C51" s="14" t="s">
        <v>54</v>
      </c>
    </row>
    <row r="52" spans="3:10" ht="23.85">
      <c r="C52" s="14" t="s">
        <v>55</v>
      </c>
    </row>
    <row r="53" spans="3:10" ht="23.85">
      <c r="C53" s="14" t="s">
        <v>56</v>
      </c>
    </row>
    <row r="54" spans="3:10" ht="23.85">
      <c r="C54" s="14" t="s">
        <v>57</v>
      </c>
    </row>
    <row r="55" spans="3:10" ht="23.85">
      <c r="C55" s="14" t="s">
        <v>58</v>
      </c>
    </row>
    <row r="57" spans="3:10" ht="26.85">
      <c r="C57" s="24" t="s">
        <v>59</v>
      </c>
      <c r="D57" s="25">
        <f>D13+D22+D36+D47</f>
        <v>8</v>
      </c>
      <c r="E57" s="25">
        <f>E13+E22+E36+E47</f>
        <v>8</v>
      </c>
      <c r="F57" s="25">
        <f>F13+F22+F36+F47</f>
        <v>8</v>
      </c>
      <c r="G57" s="25">
        <f>G13+G22+G36+G47</f>
        <v>8</v>
      </c>
      <c r="H57" s="25">
        <f>H13+H22+H36+H47</f>
        <v>7</v>
      </c>
      <c r="I57" s="25">
        <f>I13+I22+I36+I47</f>
        <v>6</v>
      </c>
    </row>
    <row r="58" spans="3:10">
      <c r="C58" s="26" t="s">
        <v>60</v>
      </c>
      <c r="E58" s="27">
        <f>((E8*E57)/2)*E7*E9</f>
        <v>7000000</v>
      </c>
      <c r="F58" s="27">
        <f>((F8*F57)/2)*F7*F9</f>
        <v>6480000</v>
      </c>
      <c r="G58" s="27">
        <f>((G8*G57)/2)*G7*G9</f>
        <v>6120000</v>
      </c>
      <c r="H58" s="27">
        <f>((H8*H57)/2)*H7*H9</f>
        <v>3465000</v>
      </c>
      <c r="I58" s="27">
        <f>((I8*I57)/2)*I7*I9</f>
        <v>3360000</v>
      </c>
    </row>
    <row r="59" spans="3:10">
      <c r="C59" s="5" t="s">
        <v>61</v>
      </c>
      <c r="J59" s="28">
        <f>SUM(E58:I58)</f>
        <v>26425000</v>
      </c>
    </row>
    <row r="60" spans="3:10">
      <c r="C60" s="5" t="s">
        <v>62</v>
      </c>
      <c r="J60" s="29">
        <f>J59*0.1</f>
        <v>2642500</v>
      </c>
    </row>
    <row r="61" spans="3:10">
      <c r="C61" s="24" t="s">
        <v>63</v>
      </c>
      <c r="J61" s="28">
        <f>J59+J60</f>
        <v>29067500</v>
      </c>
    </row>
    <row r="62" spans="3:10" ht="26.85">
      <c r="C62" s="30" t="s">
        <v>64</v>
      </c>
      <c r="J62" s="31">
        <f>J61*1.25</f>
        <v>36334375</v>
      </c>
    </row>
    <row r="64" spans="3:10" ht="51" customHeight="1">
      <c r="C64" s="32" t="s">
        <v>65</v>
      </c>
    </row>
  </sheetData>
  <mergeCells count="2">
    <mergeCell ref="B2:J2"/>
    <mergeCell ref="B3:J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Usuario invitado</cp:lastModifiedBy>
  <cp:revision>0</cp:revision>
  <dcterms:created xsi:type="dcterms:W3CDTF">2026-08-25T02:37:32Z</dcterms:created>
  <dcterms:modified xsi:type="dcterms:W3CDTF">2026-08-25T03:04:29Z</dcterms:modified>
  <cp:category/>
  <cp:contentStatus/>
</cp:coreProperties>
</file>