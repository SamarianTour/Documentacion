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QUIPO\Downloads\"/>
    </mc:Choice>
  </mc:AlternateContent>
  <xr:revisionPtr revIDLastSave="0" documentId="13_ncr:1_{49D48C43-FDE3-43B2-8933-C216D85640F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" sheetId="1" r:id="rId1"/>
    <sheet name="Cronogram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" i="2" l="1"/>
  <c r="F3" i="2" s="1"/>
  <c r="D33" i="1"/>
  <c r="H24" i="1"/>
  <c r="H25" i="1" s="1"/>
  <c r="G24" i="1"/>
  <c r="G25" i="1" s="1"/>
  <c r="F24" i="1"/>
  <c r="F25" i="1" s="1"/>
  <c r="E24" i="1"/>
  <c r="E25" i="1" s="1"/>
  <c r="D24" i="1"/>
  <c r="G3" i="2" l="1"/>
  <c r="E4" i="2"/>
  <c r="F4" i="2" s="1"/>
  <c r="D34" i="1"/>
  <c r="D26" i="1"/>
  <c r="I25" i="1"/>
  <c r="G4" i="2" l="1"/>
  <c r="E5" i="2"/>
  <c r="F5" i="2" s="1"/>
  <c r="I26" i="1"/>
  <c r="I28" i="1" s="1"/>
  <c r="J29" i="1" s="1"/>
  <c r="J30" i="1" s="1"/>
  <c r="G5" i="2" l="1"/>
  <c r="E6" i="2"/>
  <c r="F6" i="2" s="1"/>
  <c r="E7" i="2" l="1"/>
  <c r="F7" i="2" s="1"/>
  <c r="G6" i="2"/>
  <c r="E8" i="2" l="1"/>
  <c r="F8" i="2" s="1"/>
  <c r="G7" i="2"/>
  <c r="E9" i="2" l="1"/>
  <c r="F9" i="2" s="1"/>
  <c r="G8" i="2"/>
  <c r="E10" i="2" l="1"/>
  <c r="F10" i="2" s="1"/>
  <c r="G9" i="2"/>
  <c r="E11" i="2" l="1"/>
  <c r="F11" i="2" s="1"/>
  <c r="G10" i="2"/>
  <c r="G11" i="2" l="1"/>
  <c r="E12" i="2"/>
  <c r="F12" i="2" s="1"/>
  <c r="G12" i="2" l="1"/>
  <c r="E13" i="2"/>
  <c r="F13" i="2" s="1"/>
  <c r="G13" i="2" l="1"/>
  <c r="E14" i="2"/>
  <c r="F14" i="2" s="1"/>
  <c r="G14" i="2" s="1"/>
  <c r="G1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7" authorId="0" shapeId="0" xr:uid="{00000000-0006-0000-0000-000001000000}">
      <text>
        <r>
          <rPr>
            <sz val="10"/>
            <rFont val="Arial"/>
            <family val="2"/>
          </rPr>
          <t>TRM vigente al 22-sep-2026: $3.192,53 COP/USD.</t>
        </r>
      </text>
    </comment>
  </commentList>
</comments>
</file>

<file path=xl/sharedStrings.xml><?xml version="1.0" encoding="utf-8"?>
<sst xmlns="http://schemas.openxmlformats.org/spreadsheetml/2006/main" count="71" uniqueCount="58">
  <si>
    <t>Roles</t>
  </si>
  <si>
    <t>Lider Tecnico</t>
  </si>
  <si>
    <t>Desarrollador Full-stack</t>
  </si>
  <si>
    <t>Analista</t>
  </si>
  <si>
    <t>Ingeniero QA</t>
  </si>
  <si>
    <t>Salario Mensual</t>
  </si>
  <si>
    <t>Cantidad</t>
  </si>
  <si>
    <t>Participacion</t>
  </si>
  <si>
    <t>Fases</t>
  </si>
  <si>
    <t>Iteraciones</t>
  </si>
  <si>
    <t>Inicio</t>
  </si>
  <si>
    <t>Backlog HU</t>
  </si>
  <si>
    <t>CU nivel 0 - Plan</t>
  </si>
  <si>
    <t>Elaboracion</t>
  </si>
  <si>
    <t>CU nivel 1 - Esp. Req</t>
  </si>
  <si>
    <t>Modelo Diseño / ADRs</t>
  </si>
  <si>
    <t>Prototipos</t>
  </si>
  <si>
    <t>Construccion</t>
  </si>
  <si>
    <t>Impl. Modulos</t>
  </si>
  <si>
    <t>Pruebas - Mejoro proto</t>
  </si>
  <si>
    <t>Eval. Arq</t>
  </si>
  <si>
    <t>Transicion</t>
  </si>
  <si>
    <t>Pruebas carga y QAS</t>
  </si>
  <si>
    <t>Despliegue</t>
  </si>
  <si>
    <t>Documentacion</t>
  </si>
  <si>
    <t>1 iteracion = 15 dias</t>
  </si>
  <si>
    <t>Imprevistos</t>
  </si>
  <si>
    <t>Costos</t>
  </si>
  <si>
    <t>Valor Final</t>
  </si>
  <si>
    <t>Valor Final USD</t>
  </si>
  <si>
    <t>Tope USD</t>
  </si>
  <si>
    <t>Dias por iteracion</t>
  </si>
  <si>
    <t>Iteraciones por mes</t>
  </si>
  <si>
    <t>Duracion (meses)</t>
  </si>
  <si>
    <t>Imprevistos (%)</t>
  </si>
  <si>
    <t>Utilidad (%)</t>
  </si>
  <si>
    <t>TRM (COP por USD)</t>
  </si>
  <si>
    <t>Fecha de inicio</t>
  </si>
  <si>
    <t>Mes</t>
  </si>
  <si>
    <t>Iteracion</t>
  </si>
  <si>
    <t>Fase</t>
  </si>
  <si>
    <t>Fin</t>
  </si>
  <si>
    <t>Dias</t>
  </si>
  <si>
    <t>Actividades / artefactos</t>
  </si>
  <si>
    <t>Vision, contexto del problema, stakeholders, backlog inicial de HU, seleccion del proceso y del stack.</t>
  </si>
  <si>
    <t>Especificacion de requisitos ISO/IEC/IEEE 29148, casos de uso nivel 0 y 1, escenarios de calidad.</t>
  </si>
  <si>
    <t>Alternativas arquitectonicas, tabla comparativa ponderada, ADRs.</t>
  </si>
  <si>
    <t>Modelo de datos conceptual y logico, wireframes, spike de conectividad RNT.</t>
  </si>
  <si>
    <t>Esqueleto hexagonal, persistencia, autenticacion y autorizacion por rol.</t>
  </si>
  <si>
    <t>Catalogo de atractivos y servicios, busqueda y filtros.</t>
  </si>
  <si>
    <t>Adaptador RNT (API SODA), registro y verificacion del prestador.</t>
  </si>
  <si>
    <t>Ciclo de vida de la solicitud, cola del operador, vencimientos y notificaciones (flujo critico).</t>
  </si>
  <si>
    <t>Integracion Wompi: checkout, webhook firmado y dispersion.</t>
  </si>
  <si>
    <t>Modulo de IA desacoplado y dashboard de indicadores.</t>
  </si>
  <si>
    <t>Evaluacion arquitectonica, pruebas de carga y de atributos de calidad.</t>
  </si>
  <si>
    <t>Despliegue, documentacion final y sustentacion.</t>
  </si>
  <si>
    <t>Total</t>
  </si>
  <si>
    <t xml:space="preserve">TRM del 22-sep-2026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</si>
</sst>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&quot; meses&quot;"/>
    <numFmt numFmtId="166" formatCode="&quot;US$&quot;#,##0.00"/>
    <numFmt numFmtId="167" formatCode="dd/mm/yyyy"/>
  </numFmts>
  <fonts count="8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sz val="11"/>
      <name val="Arial"/>
      <charset val="1"/>
    </font>
    <font>
      <sz val="10"/>
      <name val="Arial"/>
      <family val="2"/>
    </font>
    <font>
      <sz val="11"/>
      <name val="Calibri"/>
      <family val="2"/>
      <charset val="1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0" borderId="0" xfId="0" applyFont="1"/>
    <xf numFmtId="164" fontId="3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6" fontId="2" fillId="0" borderId="0" xfId="0" applyNumberFormat="1" applyFont="1"/>
    <xf numFmtId="167" fontId="3" fillId="0" borderId="0" xfId="0" applyNumberFormat="1" applyFont="1"/>
    <xf numFmtId="0" fontId="5" fillId="0" borderId="0" xfId="0" applyFont="1"/>
    <xf numFmtId="164" fontId="6" fillId="0" borderId="0" xfId="0" applyNumberFormat="1" applyFont="1"/>
    <xf numFmtId="0" fontId="6" fillId="0" borderId="0" xfId="0" applyFont="1"/>
    <xf numFmtId="9" fontId="6" fillId="0" borderId="0" xfId="0" applyNumberFormat="1" applyFont="1"/>
    <xf numFmtId="0" fontId="7" fillId="0" borderId="0" xfId="0" applyFont="1"/>
    <xf numFmtId="4" fontId="6" fillId="0" borderId="0" xfId="0" applyNumberFormat="1" applyFont="1"/>
    <xf numFmtId="0" fontId="1" fillId="2" borderId="0" xfId="0" applyFont="1" applyFill="1" applyAlignment="1">
      <alignment horizontal="center"/>
    </xf>
    <xf numFmtId="167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7"/>
  <sheetViews>
    <sheetView tabSelected="1" zoomScale="75" zoomScaleNormal="75" workbookViewId="0">
      <selection activeCell="K18" sqref="K18"/>
    </sheetView>
  </sheetViews>
  <sheetFormatPr baseColWidth="10" defaultColWidth="8.6640625" defaultRowHeight="14.4" x14ac:dyDescent="0.3"/>
  <cols>
    <col min="2" max="2" width="5" customWidth="1"/>
    <col min="3" max="3" width="26" customWidth="1"/>
    <col min="4" max="5" width="22" customWidth="1"/>
    <col min="6" max="6" width="25.44140625" customWidth="1"/>
    <col min="7" max="8" width="22" customWidth="1"/>
    <col min="9" max="10" width="18" customWidth="1"/>
  </cols>
  <sheetData>
    <row r="2" spans="2:8" x14ac:dyDescent="0.3">
      <c r="E2" s="1" t="s">
        <v>0</v>
      </c>
    </row>
    <row r="3" spans="2:8" x14ac:dyDescent="0.3">
      <c r="E3" s="16" t="s">
        <v>1</v>
      </c>
      <c r="F3" s="16" t="s">
        <v>2</v>
      </c>
      <c r="G3" s="16" t="s">
        <v>3</v>
      </c>
      <c r="H3" s="16" t="s">
        <v>4</v>
      </c>
    </row>
    <row r="4" spans="2:8" x14ac:dyDescent="0.3">
      <c r="C4" s="1" t="s">
        <v>5</v>
      </c>
      <c r="D4" s="10"/>
      <c r="E4" s="11">
        <v>3200000</v>
      </c>
      <c r="F4" s="11">
        <v>2500000</v>
      </c>
      <c r="G4" s="11">
        <v>2200000</v>
      </c>
      <c r="H4" s="11">
        <v>2200000</v>
      </c>
    </row>
    <row r="5" spans="2:8" x14ac:dyDescent="0.3">
      <c r="C5" s="1" t="s">
        <v>6</v>
      </c>
      <c r="D5" s="10"/>
      <c r="E5" s="12">
        <v>1</v>
      </c>
      <c r="F5" s="12">
        <v>2</v>
      </c>
      <c r="G5" s="12">
        <v>1</v>
      </c>
      <c r="H5" s="12">
        <v>1</v>
      </c>
    </row>
    <row r="6" spans="2:8" x14ac:dyDescent="0.3">
      <c r="C6" s="1" t="s">
        <v>7</v>
      </c>
      <c r="D6" s="10"/>
      <c r="E6" s="13">
        <v>0.7</v>
      </c>
      <c r="F6" s="13">
        <v>0.8</v>
      </c>
      <c r="G6" s="13">
        <v>0.5</v>
      </c>
      <c r="H6" s="13">
        <v>0.5</v>
      </c>
    </row>
    <row r="7" spans="2:8" x14ac:dyDescent="0.3">
      <c r="C7" s="1" t="s">
        <v>8</v>
      </c>
      <c r="D7" s="14" t="s">
        <v>9</v>
      </c>
      <c r="E7" s="10"/>
      <c r="F7" s="10"/>
      <c r="G7" s="10"/>
      <c r="H7" s="10"/>
    </row>
    <row r="8" spans="2:8" x14ac:dyDescent="0.3">
      <c r="B8" s="1">
        <v>1</v>
      </c>
      <c r="C8" s="1" t="s">
        <v>10</v>
      </c>
      <c r="D8" s="12">
        <v>1</v>
      </c>
      <c r="E8" s="12">
        <v>1</v>
      </c>
      <c r="F8" s="10"/>
      <c r="G8" s="12">
        <v>1</v>
      </c>
      <c r="H8" s="12">
        <v>1</v>
      </c>
    </row>
    <row r="9" spans="2:8" x14ac:dyDescent="0.3">
      <c r="C9" s="3" t="s">
        <v>11</v>
      </c>
      <c r="D9" s="10"/>
      <c r="E9" s="10"/>
      <c r="F9" s="10"/>
      <c r="G9" s="10"/>
      <c r="H9" s="10"/>
    </row>
    <row r="10" spans="2:8" x14ac:dyDescent="0.3">
      <c r="C10" s="3" t="s">
        <v>12</v>
      </c>
      <c r="D10" s="10"/>
      <c r="E10" s="10"/>
      <c r="F10" s="10"/>
      <c r="G10" s="10"/>
      <c r="H10" s="10"/>
    </row>
    <row r="11" spans="2:8" x14ac:dyDescent="0.3">
      <c r="B11" s="1">
        <v>2</v>
      </c>
      <c r="C11" s="1" t="s">
        <v>13</v>
      </c>
      <c r="D11" s="12">
        <v>3</v>
      </c>
      <c r="E11" s="12">
        <v>3</v>
      </c>
      <c r="F11" s="12">
        <v>2</v>
      </c>
      <c r="G11" s="12">
        <v>3</v>
      </c>
      <c r="H11" s="12">
        <v>2</v>
      </c>
    </row>
    <row r="12" spans="2:8" x14ac:dyDescent="0.3">
      <c r="C12" s="3" t="s">
        <v>14</v>
      </c>
      <c r="D12" s="10"/>
      <c r="E12" s="10"/>
      <c r="F12" s="10"/>
      <c r="G12" s="10"/>
      <c r="H12" s="10"/>
    </row>
    <row r="13" spans="2:8" x14ac:dyDescent="0.3">
      <c r="C13" s="3" t="s">
        <v>15</v>
      </c>
      <c r="D13" s="10"/>
      <c r="E13" s="10"/>
      <c r="F13" s="10"/>
      <c r="G13" s="10"/>
      <c r="H13" s="10"/>
    </row>
    <row r="14" spans="2:8" x14ac:dyDescent="0.3">
      <c r="C14" s="3" t="s">
        <v>16</v>
      </c>
      <c r="D14" s="10"/>
      <c r="E14" s="10"/>
      <c r="F14" s="10"/>
      <c r="G14" s="10"/>
      <c r="H14" s="10"/>
    </row>
    <row r="15" spans="2:8" x14ac:dyDescent="0.3">
      <c r="B15" s="1">
        <v>3</v>
      </c>
      <c r="C15" s="1" t="s">
        <v>17</v>
      </c>
      <c r="D15" s="12">
        <v>6</v>
      </c>
      <c r="E15" s="12">
        <v>4</v>
      </c>
      <c r="F15" s="12">
        <v>6</v>
      </c>
      <c r="G15" s="12">
        <v>3</v>
      </c>
      <c r="H15" s="12">
        <v>4</v>
      </c>
    </row>
    <row r="16" spans="2:8" x14ac:dyDescent="0.3">
      <c r="C16" s="3" t="s">
        <v>18</v>
      </c>
      <c r="D16" s="10"/>
      <c r="E16" s="10"/>
      <c r="F16" s="10"/>
      <c r="G16" s="10"/>
      <c r="H16" s="10"/>
    </row>
    <row r="17" spans="2:10" x14ac:dyDescent="0.3">
      <c r="C17" s="3" t="s">
        <v>19</v>
      </c>
      <c r="D17" s="10"/>
      <c r="E17" s="10"/>
      <c r="F17" s="10"/>
      <c r="G17" s="10"/>
      <c r="H17" s="10"/>
    </row>
    <row r="18" spans="2:10" x14ac:dyDescent="0.3">
      <c r="C18" s="3" t="s">
        <v>20</v>
      </c>
      <c r="D18" s="10"/>
      <c r="E18" s="10"/>
      <c r="F18" s="10"/>
      <c r="G18" s="10"/>
      <c r="H18" s="10"/>
    </row>
    <row r="19" spans="2:10" x14ac:dyDescent="0.3">
      <c r="B19" s="1">
        <v>4</v>
      </c>
      <c r="C19" s="1" t="s">
        <v>21</v>
      </c>
      <c r="D19" s="12">
        <v>2</v>
      </c>
      <c r="E19" s="12">
        <v>2</v>
      </c>
      <c r="F19" s="12">
        <v>2</v>
      </c>
      <c r="G19" s="12">
        <v>1</v>
      </c>
      <c r="H19" s="12">
        <v>2</v>
      </c>
    </row>
    <row r="20" spans="2:10" x14ac:dyDescent="0.3">
      <c r="C20" s="3" t="s">
        <v>22</v>
      </c>
      <c r="D20" s="10"/>
      <c r="E20" s="10"/>
      <c r="F20" s="10"/>
      <c r="G20" s="10"/>
      <c r="H20" s="10"/>
    </row>
    <row r="21" spans="2:10" x14ac:dyDescent="0.3">
      <c r="C21" s="3" t="s">
        <v>23</v>
      </c>
    </row>
    <row r="22" spans="2:10" x14ac:dyDescent="0.3">
      <c r="C22" s="3" t="s">
        <v>24</v>
      </c>
    </row>
    <row r="24" spans="2:10" x14ac:dyDescent="0.3">
      <c r="C24" s="1" t="s">
        <v>25</v>
      </c>
      <c r="D24" s="1">
        <f>D8+D11+D15+D19</f>
        <v>12</v>
      </c>
      <c r="E24" s="1">
        <f>E8+E11+E15+E19</f>
        <v>10</v>
      </c>
      <c r="F24" s="1">
        <f>F8+F11+F15+F19</f>
        <v>10</v>
      </c>
      <c r="G24" s="1">
        <f>G8+G11+G15+G19</f>
        <v>8</v>
      </c>
      <c r="H24" s="1">
        <f>H8+H11+H15+H19</f>
        <v>9</v>
      </c>
    </row>
    <row r="25" spans="2:10" x14ac:dyDescent="0.3">
      <c r="E25" s="4">
        <f>((E4*E24)/$D$33)*E5*E6</f>
        <v>11200000</v>
      </c>
      <c r="F25" s="4">
        <f>((F4*F24)/$D$33)*F5*F6</f>
        <v>20000000</v>
      </c>
      <c r="G25" s="4">
        <f>((G4*G24)/$D$33)*G5*G6</f>
        <v>4400000</v>
      </c>
      <c r="H25" s="4">
        <f>((H4*H24)/$D$33)*H5*H6</f>
        <v>4950000</v>
      </c>
      <c r="I25" s="5">
        <f>SUM(E25:H25)</f>
        <v>40550000</v>
      </c>
    </row>
    <row r="26" spans="2:10" x14ac:dyDescent="0.3">
      <c r="D26" s="6">
        <f>D24/D33</f>
        <v>6</v>
      </c>
      <c r="H26" s="1" t="s">
        <v>26</v>
      </c>
      <c r="I26" s="4">
        <f>I25*D35</f>
        <v>4055000</v>
      </c>
    </row>
    <row r="28" spans="2:10" x14ac:dyDescent="0.3">
      <c r="H28" s="1" t="s">
        <v>27</v>
      </c>
      <c r="I28" s="5">
        <f>I25+I26</f>
        <v>44605000</v>
      </c>
    </row>
    <row r="29" spans="2:10" x14ac:dyDescent="0.3">
      <c r="I29" s="1" t="s">
        <v>28</v>
      </c>
      <c r="J29" s="5">
        <f>I28*(1+D36)</f>
        <v>55756250</v>
      </c>
    </row>
    <row r="30" spans="2:10" x14ac:dyDescent="0.3">
      <c r="I30" s="1" t="s">
        <v>29</v>
      </c>
      <c r="J30" s="7">
        <f>J29/D37</f>
        <v>17464.597043723941</v>
      </c>
    </row>
    <row r="31" spans="2:10" x14ac:dyDescent="0.3">
      <c r="I31" s="1" t="s">
        <v>30</v>
      </c>
      <c r="J31" s="8">
        <v>20000</v>
      </c>
    </row>
    <row r="32" spans="2:10" x14ac:dyDescent="0.3">
      <c r="C32" s="1" t="s">
        <v>31</v>
      </c>
      <c r="D32" s="12">
        <v>15</v>
      </c>
      <c r="I32" s="1"/>
      <c r="J32" s="1"/>
    </row>
    <row r="33" spans="3:5" x14ac:dyDescent="0.3">
      <c r="C33" s="1" t="s">
        <v>32</v>
      </c>
      <c r="D33" s="12">
        <f>30/D32</f>
        <v>2</v>
      </c>
    </row>
    <row r="34" spans="3:5" x14ac:dyDescent="0.3">
      <c r="C34" s="1" t="s">
        <v>33</v>
      </c>
      <c r="D34" s="12">
        <f>D24/D33</f>
        <v>6</v>
      </c>
    </row>
    <row r="35" spans="3:5" x14ac:dyDescent="0.3">
      <c r="C35" s="1" t="s">
        <v>34</v>
      </c>
      <c r="D35" s="13">
        <v>0.1</v>
      </c>
    </row>
    <row r="36" spans="3:5" x14ac:dyDescent="0.3">
      <c r="C36" s="1" t="s">
        <v>35</v>
      </c>
      <c r="D36" s="13">
        <v>0.25</v>
      </c>
    </row>
    <row r="37" spans="3:5" x14ac:dyDescent="0.3">
      <c r="C37" s="1" t="s">
        <v>36</v>
      </c>
      <c r="D37" s="15">
        <v>3192.53</v>
      </c>
      <c r="E37" s="3" t="s">
        <v>57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5"/>
  <sheetViews>
    <sheetView zoomScaleNormal="100" workbookViewId="0">
      <selection activeCell="G15" sqref="G15"/>
    </sheetView>
  </sheetViews>
  <sheetFormatPr baseColWidth="10" defaultColWidth="8.6640625" defaultRowHeight="14.4" x14ac:dyDescent="0.3"/>
  <cols>
    <col min="2" max="2" width="7" customWidth="1"/>
    <col min="3" max="3" width="10" customWidth="1"/>
    <col min="4" max="4" width="14" customWidth="1"/>
    <col min="5" max="6" width="13" customWidth="1"/>
    <col min="7" max="7" width="7" customWidth="1"/>
    <col min="8" max="8" width="90" customWidth="1"/>
  </cols>
  <sheetData>
    <row r="1" spans="2:8" x14ac:dyDescent="0.3">
      <c r="B1" s="1" t="s">
        <v>37</v>
      </c>
      <c r="D1" s="17">
        <v>46258</v>
      </c>
    </row>
    <row r="2" spans="2:8" x14ac:dyDescent="0.3">
      <c r="B2" s="2" t="s">
        <v>38</v>
      </c>
      <c r="C2" s="2" t="s">
        <v>39</v>
      </c>
      <c r="D2" s="2" t="s">
        <v>40</v>
      </c>
      <c r="E2" s="2" t="s">
        <v>10</v>
      </c>
      <c r="F2" s="2" t="s">
        <v>41</v>
      </c>
      <c r="G2" s="2" t="s">
        <v>42</v>
      </c>
      <c r="H2" s="2" t="s">
        <v>43</v>
      </c>
    </row>
    <row r="3" spans="2:8" x14ac:dyDescent="0.3">
      <c r="B3" s="3">
        <v>1</v>
      </c>
      <c r="C3" s="3">
        <v>1</v>
      </c>
      <c r="D3" s="3" t="s">
        <v>10</v>
      </c>
      <c r="E3" s="9">
        <f>D1</f>
        <v>46258</v>
      </c>
      <c r="F3" s="9">
        <f>E3+Plan!$D$32-1</f>
        <v>46272</v>
      </c>
      <c r="G3" s="3">
        <f t="shared" ref="G3:G14" si="0">F3-E3+1</f>
        <v>15</v>
      </c>
      <c r="H3" s="3" t="s">
        <v>44</v>
      </c>
    </row>
    <row r="4" spans="2:8" x14ac:dyDescent="0.3">
      <c r="B4" s="3">
        <v>1</v>
      </c>
      <c r="C4" s="3">
        <v>2</v>
      </c>
      <c r="D4" s="3" t="s">
        <v>13</v>
      </c>
      <c r="E4" s="9">
        <f t="shared" ref="E4:E14" si="1">F3+1</f>
        <v>46273</v>
      </c>
      <c r="F4" s="9">
        <f>E4+Plan!$D$32-1</f>
        <v>46287</v>
      </c>
      <c r="G4" s="3">
        <f t="shared" si="0"/>
        <v>15</v>
      </c>
      <c r="H4" s="3" t="s">
        <v>45</v>
      </c>
    </row>
    <row r="5" spans="2:8" x14ac:dyDescent="0.3">
      <c r="B5" s="3">
        <v>2</v>
      </c>
      <c r="C5" s="3">
        <v>3</v>
      </c>
      <c r="D5" s="3" t="s">
        <v>13</v>
      </c>
      <c r="E5" s="9">
        <f t="shared" si="1"/>
        <v>46288</v>
      </c>
      <c r="F5" s="9">
        <f>E5+Plan!$D$32-1</f>
        <v>46302</v>
      </c>
      <c r="G5" s="3">
        <f t="shared" si="0"/>
        <v>15</v>
      </c>
      <c r="H5" s="3" t="s">
        <v>46</v>
      </c>
    </row>
    <row r="6" spans="2:8" x14ac:dyDescent="0.3">
      <c r="B6" s="3">
        <v>2</v>
      </c>
      <c r="C6" s="3">
        <v>4</v>
      </c>
      <c r="D6" s="3" t="s">
        <v>13</v>
      </c>
      <c r="E6" s="9">
        <f t="shared" si="1"/>
        <v>46303</v>
      </c>
      <c r="F6" s="9">
        <f>E6+Plan!$D$32-1</f>
        <v>46317</v>
      </c>
      <c r="G6" s="3">
        <f t="shared" si="0"/>
        <v>15</v>
      </c>
      <c r="H6" s="3" t="s">
        <v>47</v>
      </c>
    </row>
    <row r="7" spans="2:8" x14ac:dyDescent="0.3">
      <c r="B7" s="3">
        <v>3</v>
      </c>
      <c r="C7" s="3">
        <v>5</v>
      </c>
      <c r="D7" s="3" t="s">
        <v>17</v>
      </c>
      <c r="E7" s="9">
        <f t="shared" si="1"/>
        <v>46318</v>
      </c>
      <c r="F7" s="9">
        <f>E7+Plan!$D$32-1</f>
        <v>46332</v>
      </c>
      <c r="G7" s="3">
        <f t="shared" si="0"/>
        <v>15</v>
      </c>
      <c r="H7" s="3" t="s">
        <v>48</v>
      </c>
    </row>
    <row r="8" spans="2:8" x14ac:dyDescent="0.3">
      <c r="B8" s="3">
        <v>3</v>
      </c>
      <c r="C8" s="3">
        <v>6</v>
      </c>
      <c r="D8" s="3" t="s">
        <v>17</v>
      </c>
      <c r="E8" s="9">
        <f t="shared" si="1"/>
        <v>46333</v>
      </c>
      <c r="F8" s="9">
        <f>E8+Plan!$D$32-1</f>
        <v>46347</v>
      </c>
      <c r="G8" s="3">
        <f t="shared" si="0"/>
        <v>15</v>
      </c>
      <c r="H8" s="3" t="s">
        <v>49</v>
      </c>
    </row>
    <row r="9" spans="2:8" x14ac:dyDescent="0.3">
      <c r="B9" s="3">
        <v>4</v>
      </c>
      <c r="C9" s="3">
        <v>7</v>
      </c>
      <c r="D9" s="3" t="s">
        <v>17</v>
      </c>
      <c r="E9" s="9">
        <f t="shared" si="1"/>
        <v>46348</v>
      </c>
      <c r="F9" s="9">
        <f>E9+Plan!$D$32-1</f>
        <v>46362</v>
      </c>
      <c r="G9" s="3">
        <f t="shared" si="0"/>
        <v>15</v>
      </c>
      <c r="H9" s="3" t="s">
        <v>50</v>
      </c>
    </row>
    <row r="10" spans="2:8" x14ac:dyDescent="0.3">
      <c r="B10" s="3">
        <v>4</v>
      </c>
      <c r="C10" s="3">
        <v>8</v>
      </c>
      <c r="D10" s="3" t="s">
        <v>17</v>
      </c>
      <c r="E10" s="9">
        <f t="shared" si="1"/>
        <v>46363</v>
      </c>
      <c r="F10" s="9">
        <f>E10+Plan!$D$32-1</f>
        <v>46377</v>
      </c>
      <c r="G10" s="3">
        <f t="shared" si="0"/>
        <v>15</v>
      </c>
      <c r="H10" s="3" t="s">
        <v>51</v>
      </c>
    </row>
    <row r="11" spans="2:8" x14ac:dyDescent="0.3">
      <c r="B11" s="3">
        <v>5</v>
      </c>
      <c r="C11" s="3">
        <v>9</v>
      </c>
      <c r="D11" s="3" t="s">
        <v>17</v>
      </c>
      <c r="E11" s="9">
        <f t="shared" si="1"/>
        <v>46378</v>
      </c>
      <c r="F11" s="9">
        <f>E11+Plan!$D$32-1</f>
        <v>46392</v>
      </c>
      <c r="G11" s="3">
        <f t="shared" si="0"/>
        <v>15</v>
      </c>
      <c r="H11" s="3" t="s">
        <v>52</v>
      </c>
    </row>
    <row r="12" spans="2:8" x14ac:dyDescent="0.3">
      <c r="B12" s="3">
        <v>5</v>
      </c>
      <c r="C12" s="3">
        <v>10</v>
      </c>
      <c r="D12" s="3" t="s">
        <v>17</v>
      </c>
      <c r="E12" s="9">
        <f t="shared" si="1"/>
        <v>46393</v>
      </c>
      <c r="F12" s="9">
        <f>E12+Plan!$D$32-1</f>
        <v>46407</v>
      </c>
      <c r="G12" s="3">
        <f t="shared" si="0"/>
        <v>15</v>
      </c>
      <c r="H12" s="3" t="s">
        <v>53</v>
      </c>
    </row>
    <row r="13" spans="2:8" x14ac:dyDescent="0.3">
      <c r="B13" s="3">
        <v>6</v>
      </c>
      <c r="C13" s="3">
        <v>11</v>
      </c>
      <c r="D13" s="3" t="s">
        <v>21</v>
      </c>
      <c r="E13" s="9">
        <f t="shared" si="1"/>
        <v>46408</v>
      </c>
      <c r="F13" s="9">
        <f>E13+Plan!$D$32-1</f>
        <v>46422</v>
      </c>
      <c r="G13" s="3">
        <f t="shared" si="0"/>
        <v>15</v>
      </c>
      <c r="H13" s="3" t="s">
        <v>54</v>
      </c>
    </row>
    <row r="14" spans="2:8" x14ac:dyDescent="0.3">
      <c r="B14" s="3">
        <v>6</v>
      </c>
      <c r="C14" s="3">
        <v>12</v>
      </c>
      <c r="D14" s="3" t="s">
        <v>21</v>
      </c>
      <c r="E14" s="9">
        <f t="shared" si="1"/>
        <v>46423</v>
      </c>
      <c r="F14" s="9">
        <f>E14+Plan!$D$32-1</f>
        <v>46437</v>
      </c>
      <c r="G14" s="3">
        <f t="shared" si="0"/>
        <v>15</v>
      </c>
      <c r="H14" s="3" t="s">
        <v>55</v>
      </c>
    </row>
    <row r="15" spans="2:8" x14ac:dyDescent="0.3">
      <c r="B15" s="1" t="s">
        <v>56</v>
      </c>
      <c r="G15" s="1">
        <f>SUM(G3:G14)</f>
        <v>180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</vt:lpstr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JOSE ALEJANDRO  RODRIGUEZ RINCONES</cp:lastModifiedBy>
  <cp:revision>0</cp:revision>
  <dcterms:created xsi:type="dcterms:W3CDTF">2026-09-22T19:18:50Z</dcterms:created>
  <dcterms:modified xsi:type="dcterms:W3CDTF">2026-09-23T02:19:44Z</dcterms:modified>
  <dc:language>en-US</dc:language>
</cp:coreProperties>
</file>